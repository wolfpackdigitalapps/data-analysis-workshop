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Worked example" sheetId="2" state="visible" r:id="rId4"/>
    <sheet name="Your plan (template)" sheetId="3" state="visible" r:id="rId5"/>
  </sheets>
  <definedNames>
    <definedName function="false" hidden="false" localSheetId="1" name="_xlnm.Print_Area" vbProcedure="false">'Worked example'!$A$1:$M$32</definedName>
    <definedName function="false" hidden="false" localSheetId="2" name="_xlnm.Print_Area" vbProcedure="false">'Your plan (template)'!$A$1:$M$32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<sst xmlns="http://schemas.openxmlformats.org/spreadsheetml/2006/main" count="139" uniqueCount="85">
  <si>
    <t xml:space="preserve">Data Analysis Workshop — Initiative Tracker</t>
  </si>
  <si>
    <t xml:space="preserve">The initiative-based approach: Objective → Initiatives → Actions</t>
  </si>
  <si>
    <t xml:space="preserve">What this is</t>
  </si>
  <si>
    <t xml:space="preserve">A living sheet that turns a diagnosed bottleneck into a prioritised, measurable plan. One objective (a KPI with a target), several initiatives (the bets), each with concrete actions.</t>
  </si>
  <si>
    <t xml:space="preserve">The golden rule</t>
  </si>
  <si>
    <t xml:space="preserve">An objective is only DONE when the number moves — not when a feature ships. Keep adding initiatives until the target KPI hits its goal.</t>
  </si>
  <si>
    <t xml:space="preserve">Tab: Worked example</t>
  </si>
  <si>
    <t xml:space="preserve">A fully filled example for the demo product 'Nimbus' — the model answer for Exercise 4. Study how each initiative ties to evidence and carries an expected lift.</t>
  </si>
  <si>
    <t xml:space="preserve">Tab: Your plan (template)</t>
  </si>
  <si>
    <t xml:space="preserve">A blank copy for your own product. Fill the YELLOW cells only. ICE, Priority, Gap and Coverage calculate automatically.</t>
  </si>
  <si>
    <t xml:space="preserve">ICE scoring</t>
  </si>
  <si>
    <t xml:space="preserve">Impact × Confidence × Ease, each 1–10. Higher = do sooner. It's a conversation tool, not a precise science — the value is forcing 'how confident are we, really?' against the evidence.</t>
  </si>
  <si>
    <t xml:space="preserve">Coverage check</t>
  </si>
  <si>
    <t xml:space="preserve">The sheet sums your initiatives' expected lift and compares it to the gap between baseline and target. If you're short, you need another initiative — a plan that doesn't add up to the target is a wishlist.</t>
  </si>
  <si>
    <t xml:space="preserve">Cost &amp; payback</t>
  </si>
  <si>
    <t xml:space="preserve">Block ③ on both plan tabs prices the plan. Fill the loaded cost per person-week, what one point of your KPI is worth per month, and the ramp — then person-weeks on each bet. The sheet returns cost, payback in months and year-one return per $1 spent, and tells you whether costing the plan reordered it. Effort as a T-shirt size is not a cost; nobody approves a budget denominated in "M".</t>
  </si>
  <si>
    <t xml:space="preserve">Note</t>
  </si>
  <si>
    <t xml:space="preserve">All numbers in the worked example are fictional, generated for this workshop.</t>
  </si>
  <si>
    <t xml:space="preserve">WORKED EXAMPLE — Initiative Tracker</t>
  </si>
  <si>
    <t xml:space="preserve">Objective → Initiatives → Actions   ·   it's only done when the number moves</t>
  </si>
  <si>
    <t xml:space="preserve">① OBJECTIVE</t>
  </si>
  <si>
    <t xml:space="preserve">Target KPI</t>
  </si>
  <si>
    <t xml:space="preserve">Sign-up → Identity-verified (KYC) completion rate</t>
  </si>
  <si>
    <t xml:space="preserve">Deadline</t>
  </si>
  <si>
    <t xml:space="preserve">End of Q3</t>
  </si>
  <si>
    <t xml:space="preserve">Baseline</t>
  </si>
  <si>
    <t xml:space="preserve">Owner</t>
  </si>
  <si>
    <t xml:space="preserve">Product</t>
  </si>
  <si>
    <t xml:space="preserve">Target</t>
  </si>
  <si>
    <t xml:space="preserve">Current</t>
  </si>
  <si>
    <t xml:space="preserve">Gap to close</t>
  </si>
  <si>
    <t xml:space="preserve">Status</t>
  </si>
  <si>
    <t xml:space="preserve">On track</t>
  </si>
  <si>
    <t xml:space="preserve">② INITIATIVES  (the bets — prioritised by ICE)   →   ③ ACTIONS are in the 'Key actions' column</t>
  </si>
  <si>
    <t xml:space="preserve">#</t>
  </si>
  <si>
    <t xml:space="preserve">Initiative</t>
  </si>
  <si>
    <t xml:space="preserve">Hypothesis (why it will move the KPI)</t>
  </si>
  <si>
    <t xml:space="preserve">Key actions (what eng &amp; design build)</t>
  </si>
  <si>
    <t xml:space="preserve">Exp. lift (pp)</t>
  </si>
  <si>
    <t xml:space="preserve">Effort</t>
  </si>
  <si>
    <t xml:space="preserve">Impact
(1-10)</t>
  </si>
  <si>
    <t xml:space="preserve">Confid.
(1-10)</t>
  </si>
  <si>
    <t xml:space="preserve">Ease
(1-10)</t>
  </si>
  <si>
    <t xml:space="preserve">ICE</t>
  </si>
  <si>
    <t xml:space="preserve">Priority</t>
  </si>
  <si>
    <t xml:space="preserve">Rebuild ID-capture UX</t>
  </si>
  <si>
    <t xml:space="preserve">61% of KYC abandonment is on the ID photo screen — auto-capture + guidance should recover most of it.</t>
  </si>
  <si>
    <t xml:space="preserve">Auto-capture w/ edge detection; on-screen framing guide; live glare/blur feedback; gallery-upload fallback; cut 5 steps to 3.</t>
  </si>
  <si>
    <t xml:space="preserve">M</t>
  </si>
  <si>
    <t xml:space="preserve">Design + Mobile</t>
  </si>
  <si>
    <t xml:space="preserve">Not started</t>
  </si>
  <si>
    <t xml:space="preserve">Fix Android camera &amp; crashes</t>
  </si>
  <si>
    <t xml:space="preserve">Android completes KYC at 30% vs iOS 52% and is the larger base; native camera + crash fix closes the gap.</t>
  </si>
  <si>
    <t xml:space="preserve">Native Android camera capture; fix the upload crash; client-side image compression; QA on top 10 devices.</t>
  </si>
  <si>
    <t xml:space="preserve">Mobile</t>
  </si>
  <si>
    <t xml:space="preserve">Set expectations + soft-fail</t>
  </si>
  <si>
    <t xml:space="preserve">Hard rejections with no reason cause rage-quits; a pre-checklist and specific retry guidance keep users trying.</t>
  </si>
  <si>
    <t xml:space="preserve">Pre-KYC readiness checklist; accept more document types; specific rejection reasons + retry tips; progress bar.</t>
  </si>
  <si>
    <t xml:space="preserve">S</t>
  </si>
  <si>
    <t xml:space="preserve">Product + Design</t>
  </si>
  <si>
    <t xml:space="preserve">Recover abandoners</t>
  </si>
  <si>
    <t xml:space="preserve">Half of KYC starters drop; saving progress and nudging them back recovers a share of them.</t>
  </si>
  <si>
    <t xml:space="preserve">Save &amp; resume deep-link; push/email nudge after drop-off; live-chat offer on 2nd failure.</t>
  </si>
  <si>
    <t xml:space="preserve">Growth</t>
  </si>
  <si>
    <t xml:space="preserve">Sum of expected lift  →</t>
  </si>
  <si>
    <t xml:space="preserve">③ COST &amp; PAYBACK   (what the plan costs, what it earns, and when it pays for itself)</t>
  </si>
  <si>
    <t xml:space="preserve">Loaded cost per
person-week</t>
  </si>
  <si>
    <t xml:space="preserve">Fully loaded cost of one person for one week — salary, tax, tooling, overhead. Ask your delivery lead; do not use a salary figure.</t>
  </si>
  <si>
    <t xml:space="preserve">Value of +1pp of
the KPI per month</t>
  </si>
  <si>
    <t xml:space="preserve">What one percentage point of KPI lift is worth per month once the gain has fully stacked up. Derive it, do not guess it: 1pp of Nimbus KYC = 320 more verified users a month, 52.5% of whom activate = 168 activations, each worth $5.26 over its life = $884 a month.</t>
  </si>
  <si>
    <t xml:space="preserve">Ramp
(months)</t>
  </si>
  <si>
    <t xml:space="preserve">How many months a monthly gain keeps stacking before the base plateaus — the average life of the user you win. For Nimbus: 18,400 activated users divided by 6,720 new per month = 2.7 months.</t>
  </si>
  <si>
    <t xml:space="preserve">How the numbers are built</t>
  </si>
  <si>
    <t xml:space="preserve">Person-
weeks</t>
  </si>
  <si>
    <t xml:space="preserve">Cost</t>
  </si>
  <si>
    <t xml:space="preserve">Value / mo
(at plateau)</t>
  </si>
  <si>
    <t xml:space="preserve">Payback
(months)</t>
  </si>
  <si>
    <t xml:space="preserve">Year-1 value
(ramp included)</t>
  </si>
  <si>
    <t xml:space="preserve">Return
per $1</t>
  </si>
  <si>
    <t xml:space="preserve">ICE rank</t>
  </si>
  <si>
    <t xml:space="preserve">Payback
rank</t>
  </si>
  <si>
    <t xml:space="preserve">Verdict</t>
  </si>
  <si>
    <t xml:space="preserve">Whole plan</t>
  </si>
  <si>
    <t xml:space="preserve">YOUR PLAN — Initiative Tracker</t>
  </si>
  <si>
    <t xml:space="preserve">(example) Rebuild ID-capture UX</t>
  </si>
</sst>
</file>

<file path=xl/styles.xml><?xml version="1.0" encoding="utf-8"?>
<styleSheet xmlns="http://schemas.openxmlformats.org/spreadsheetml/2006/main">
  <numFmts count="7">
    <numFmt numFmtId="164" formatCode="General"/>
    <numFmt numFmtId="165" formatCode="0.0%"/>
    <numFmt numFmtId="166" formatCode="General"/>
    <numFmt numFmtId="167" formatCode="\$#,##0"/>
    <numFmt numFmtId="168" formatCode="0.0"/>
    <numFmt numFmtId="169" formatCode="0"/>
    <numFmt numFmtId="170"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4F46E5"/>
      <name val="Arial"/>
      <family val="0"/>
      <charset val="1"/>
    </font>
    <font>
      <sz val="11"/>
      <color rgb="FF5B6472"/>
      <name val="Arial"/>
      <family val="0"/>
      <charset val="1"/>
    </font>
    <font>
      <b val="true"/>
      <sz val="11"/>
      <color rgb="FF1F2430"/>
      <name val="Arial"/>
      <family val="0"/>
      <charset val="1"/>
    </font>
    <font>
      <sz val="10"/>
      <color rgb="FF333333"/>
      <name val="Arial"/>
      <family val="0"/>
      <charset val="1"/>
    </font>
    <font>
      <b val="true"/>
      <sz val="15"/>
      <color rgb="FFFFFFFF"/>
      <name val="Arial"/>
      <family val="0"/>
      <charset val="1"/>
    </font>
    <font>
      <sz val="10"/>
      <color rgb="FF5B6472"/>
      <name val="Arial"/>
      <family val="0"/>
      <charset val="1"/>
    </font>
    <font>
      <b val="true"/>
      <sz val="11"/>
      <color rgb="FFFFFFFF"/>
      <name val="Arial"/>
      <family val="0"/>
      <charset val="1"/>
    </font>
    <font>
      <b val="true"/>
      <sz val="10"/>
      <color rgb="FF5B6472"/>
      <name val="Arial"/>
      <family val="0"/>
      <charset val="1"/>
    </font>
    <font>
      <sz val="10"/>
      <color rgb="FF1F2430"/>
      <name val="Arial"/>
      <family val="0"/>
      <charset val="1"/>
    </font>
    <font>
      <b val="true"/>
      <sz val="10"/>
      <color rgb="FF1F2430"/>
      <name val="Arial"/>
      <family val="0"/>
      <charset val="1"/>
    </font>
    <font>
      <b val="true"/>
      <sz val="9"/>
      <color rgb="FFFFFFFF"/>
      <name val="Arial"/>
      <family val="0"/>
      <charset val="1"/>
    </font>
    <font>
      <sz val="9"/>
      <color rgb="FF333333"/>
      <name val="Arial"/>
      <family val="0"/>
      <charset val="1"/>
    </font>
    <font>
      <sz val="9"/>
      <color rgb="FF1F2430"/>
      <name val="Arial"/>
      <family val="0"/>
      <charset val="1"/>
    </font>
    <font>
      <sz val="10"/>
      <color rgb="FF0000FF"/>
      <name val="Arial"/>
      <family val="0"/>
      <charset val="1"/>
    </font>
    <font>
      <i val="true"/>
      <sz val="8"/>
      <color rgb="FF99A0AD"/>
      <name val="Arial"/>
      <family val="0"/>
      <charset val="1"/>
    </font>
  </fonts>
  <fills count="7">
    <fill>
      <patternFill patternType="none"/>
    </fill>
    <fill>
      <patternFill patternType="gray125"/>
    </fill>
    <fill>
      <patternFill patternType="solid">
        <fgColor rgb="FF4F46E5"/>
        <bgColor rgb="FF333399"/>
      </patternFill>
    </fill>
    <fill>
      <patternFill patternType="solid">
        <fgColor rgb="FFF1F5F9"/>
        <bgColor rgb="FFEEF2FF"/>
      </patternFill>
    </fill>
    <fill>
      <patternFill patternType="solid">
        <fgColor rgb="FF0EA5E9"/>
        <bgColor rgb="FF33CCCC"/>
      </patternFill>
    </fill>
    <fill>
      <patternFill patternType="solid">
        <fgColor rgb="FFEEF2FF"/>
        <bgColor rgb="FFF1F5F9"/>
      </patternFill>
    </fill>
    <fill>
      <patternFill patternType="solid">
        <fgColor rgb="FFFFF3C4"/>
        <bgColor rgb="FFFFFF99"/>
      </patternFill>
    </fill>
  </fills>
  <borders count="4">
    <border diagonalUp="false" diagonalDown="false">
      <left/>
      <right/>
      <top/>
      <bottom/>
      <diagonal/>
    </border>
    <border diagonalUp="false" diagonalDown="false">
      <left style="thin">
        <color rgb="FFD9DEE7"/>
      </left>
      <right/>
      <top style="thin">
        <color rgb="FFD9DEE7"/>
      </top>
      <bottom style="thin">
        <color rgb="FFD9DEE7"/>
      </bottom>
      <diagonal/>
    </border>
    <border diagonalUp="false" diagonalDown="false">
      <left style="thin">
        <color rgb="FFD9DEE7"/>
      </left>
      <right style="thin">
        <color rgb="FFD9DEE7"/>
      </right>
      <top style="thin">
        <color rgb="FFD9DEE7"/>
      </top>
      <bottom style="thin">
        <color rgb="FFD9DEE7"/>
      </bottom>
      <diagonal/>
    </border>
    <border diagonalUp="false" diagonalDown="false">
      <left style="thin">
        <color rgb="FFD5DAE3"/>
      </left>
      <right style="thin">
        <color rgb="FFD5DAE3"/>
      </right>
      <top style="thin">
        <color rgb="FFD5DAE3"/>
      </top>
      <bottom style="thin">
        <color rgb="FFD5DA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5" fontId="12" fillId="0" borderId="2" xfId="0" applyFont="true" applyBorder="true" applyAlignment="true" applyProtection="false">
      <alignment horizontal="left" vertical="center" textRotation="0" wrapText="true" indent="0" shrinkToFit="false"/>
      <protection locked="true" hidden="false"/>
    </xf>
    <xf numFmtId="165" fontId="12" fillId="0" borderId="1" xfId="0" applyFont="true" applyBorder="true" applyAlignment="true" applyProtection="false">
      <alignment horizontal="left" vertical="center" textRotation="0" wrapText="true" indent="0" shrinkToFit="false"/>
      <protection locked="true" hidden="false"/>
    </xf>
    <xf numFmtId="165" fontId="13" fillId="5" borderId="2" xfId="0" applyFont="true" applyBorder="true" applyAlignment="true" applyProtection="false">
      <alignment horizontal="left"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5" fontId="12" fillId="0" borderId="2" xfId="0" applyFont="true" applyBorder="true" applyAlignment="true" applyProtection="false">
      <alignment horizontal="center" vertical="center" textRotation="0" wrapText="true" indent="0" shrinkToFit="false"/>
      <protection locked="true" hidden="false"/>
    </xf>
    <xf numFmtId="166" fontId="13" fillId="5"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right" vertical="center" textRotation="0" wrapText="false" indent="0" shrinkToFit="false"/>
      <protection locked="true" hidden="false"/>
    </xf>
    <xf numFmtId="165" fontId="13" fillId="5" borderId="2"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7" fontId="12" fillId="0" borderId="3"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8" fontId="12" fillId="0" borderId="3" xfId="0" applyFont="true" applyBorder="true" applyAlignment="true" applyProtection="false">
      <alignment horizontal="left"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left" vertical="center" textRotation="0" wrapText="true" indent="0" shrinkToFit="false"/>
      <protection locked="true" hidden="false"/>
    </xf>
    <xf numFmtId="164" fontId="15" fillId="5" borderId="3" xfId="0" applyFont="true" applyBorder="true" applyAlignment="true" applyProtection="false">
      <alignment horizontal="left" vertical="center" textRotation="0" wrapText="true" indent="0" shrinkToFit="false"/>
      <protection locked="true" hidden="false"/>
    </xf>
    <xf numFmtId="169" fontId="12" fillId="0" borderId="3" xfId="0" applyFont="true" applyBorder="true" applyAlignment="true" applyProtection="false">
      <alignment horizontal="center" vertical="center" textRotation="0" wrapText="true" indent="0" shrinkToFit="false"/>
      <protection locked="true" hidden="false"/>
    </xf>
    <xf numFmtId="167" fontId="13" fillId="5" borderId="3" xfId="0" applyFont="true" applyBorder="true" applyAlignment="true" applyProtection="false">
      <alignment horizontal="center" vertical="center" textRotation="0" wrapText="true" indent="0" shrinkToFit="false"/>
      <protection locked="true" hidden="false"/>
    </xf>
    <xf numFmtId="169" fontId="13" fillId="5" borderId="3" xfId="0" applyFont="true" applyBorder="true" applyAlignment="true" applyProtection="false">
      <alignment horizontal="center" vertical="center" textRotation="0" wrapText="true" indent="0" shrinkToFit="false"/>
      <protection locked="true" hidden="false"/>
    </xf>
    <xf numFmtId="170" fontId="13" fillId="5" borderId="3" xfId="0" applyFont="true" applyBorder="true" applyAlignment="true" applyProtection="false">
      <alignment horizontal="center" vertical="center" textRotation="0" wrapText="true" indent="0" shrinkToFit="false"/>
      <protection locked="true" hidden="false"/>
    </xf>
    <xf numFmtId="164" fontId="16" fillId="5" borderId="3" xfId="0" applyFont="true" applyBorder="true" applyAlignment="true" applyProtection="false">
      <alignment horizontal="left" vertical="center"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5" fontId="17" fillId="6" borderId="2" xfId="0" applyFont="true" applyBorder="true" applyAlignment="true" applyProtection="false">
      <alignment horizontal="left" vertical="center" textRotation="0" wrapText="true" indent="0" shrinkToFit="false"/>
      <protection locked="true" hidden="false"/>
    </xf>
    <xf numFmtId="165" fontId="17" fillId="6" borderId="1" xfId="0" applyFont="true" applyBorder="true" applyAlignment="true" applyProtection="false">
      <alignment horizontal="left" vertical="center" textRotation="0" wrapText="true" indent="0" shrinkToFit="false"/>
      <protection locked="true" hidden="false"/>
    </xf>
    <xf numFmtId="164" fontId="17" fillId="6" borderId="2" xfId="0" applyFont="true" applyBorder="true" applyAlignment="true" applyProtection="false">
      <alignment horizontal="left" vertical="top" textRotation="0" wrapText="true" indent="0" shrinkToFit="false"/>
      <protection locked="true" hidden="false"/>
    </xf>
    <xf numFmtId="165" fontId="17" fillId="6"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7" fontId="17" fillId="6" borderId="3" xfId="0" applyFont="true" applyBorder="true" applyAlignment="true" applyProtection="false">
      <alignment horizontal="left" vertical="center" textRotation="0" wrapText="true" indent="0" shrinkToFit="false"/>
      <protection locked="true" hidden="false"/>
    </xf>
    <xf numFmtId="168" fontId="17" fillId="6" borderId="3" xfId="0" applyFont="true" applyBorder="true" applyAlignment="true" applyProtection="false">
      <alignment horizontal="left" vertical="center" textRotation="0" wrapText="true" indent="0" shrinkToFit="false"/>
      <protection locked="true" hidden="false"/>
    </xf>
    <xf numFmtId="164" fontId="12" fillId="0" borderId="3" xfId="0" applyFont="true" applyBorder="true" applyAlignment="true" applyProtection="false">
      <alignment horizontal="left" vertical="center" textRotation="0" wrapText="true" indent="0" shrinkToFit="false"/>
      <protection locked="true" hidden="false"/>
    </xf>
    <xf numFmtId="169" fontId="17" fillId="6"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4"/>
      <rgbColor rgb="FFEEF2FF"/>
      <rgbColor rgb="FF660066"/>
      <rgbColor rgb="FFFF8080"/>
      <rgbColor rgb="FF0066CC"/>
      <rgbColor rgb="FFD5DAE3"/>
      <rgbColor rgb="FF000080"/>
      <rgbColor rgb="FFFF00FF"/>
      <rgbColor rgb="FFFFFF00"/>
      <rgbColor rgb="FF00FFFF"/>
      <rgbColor rgb="FF800080"/>
      <rgbColor rgb="FF800000"/>
      <rgbColor rgb="FF008080"/>
      <rgbColor rgb="FF0000FF"/>
      <rgbColor rgb="FF0EA5E9"/>
      <rgbColor rgb="FFF1F5F9"/>
      <rgbColor rgb="FFD9DEE7"/>
      <rgbColor rgb="FFFFFF99"/>
      <rgbColor rgb="FF99CCFF"/>
      <rgbColor rgb="FFFF99CC"/>
      <rgbColor rgb="FFCC99FF"/>
      <rgbColor rgb="FFFFCC99"/>
      <rgbColor rgb="FF4F46E5"/>
      <rgbColor rgb="FF33CCCC"/>
      <rgbColor rgb="FF99CC00"/>
      <rgbColor rgb="FFFFCC00"/>
      <rgbColor rgb="FFFF9900"/>
      <rgbColor rgb="FFFF6600"/>
      <rgbColor rgb="FF5B6472"/>
      <rgbColor rgb="FF99A0AD"/>
      <rgbColor rgb="FF003366"/>
      <rgbColor rgb="FF339966"/>
      <rgbColor rgb="FF003300"/>
      <rgbColor rgb="FF1F243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95"/>
  </cols>
  <sheetData>
    <row r="2" customFormat="false" ht="19.5" hidden="false" customHeight="true" outlineLevel="0" collapsed="false">
      <c r="B2" s="2" t="s">
        <v>0</v>
      </c>
    </row>
    <row r="3" customFormat="false" ht="15" hidden="false" customHeight="true" outlineLevel="0" collapsed="false">
      <c r="B3" s="3" t="s">
        <v>1</v>
      </c>
    </row>
    <row r="5" customFormat="false" ht="45.75" hidden="false" customHeight="true" outlineLevel="0" collapsed="false">
      <c r="B5" s="4" t="s">
        <v>2</v>
      </c>
      <c r="C5" s="5" t="s">
        <v>3</v>
      </c>
    </row>
    <row r="6" customFormat="false" ht="45.75" hidden="false" customHeight="true" outlineLevel="0" collapsed="false">
      <c r="B6" s="4" t="s">
        <v>4</v>
      </c>
      <c r="C6" s="5" t="s">
        <v>5</v>
      </c>
    </row>
    <row r="7" customFormat="false" ht="45.75" hidden="false" customHeight="true" outlineLevel="0" collapsed="false">
      <c r="B7" s="4" t="s">
        <v>6</v>
      </c>
      <c r="C7" s="5" t="s">
        <v>7</v>
      </c>
    </row>
    <row r="8" customFormat="false" ht="45.75" hidden="false" customHeight="true" outlineLevel="0" collapsed="false">
      <c r="B8" s="4" t="s">
        <v>8</v>
      </c>
      <c r="C8" s="5" t="s">
        <v>9</v>
      </c>
    </row>
    <row r="9" customFormat="false" ht="45.75" hidden="false" customHeight="true" outlineLevel="0" collapsed="false">
      <c r="B9" s="4" t="s">
        <v>10</v>
      </c>
      <c r="C9" s="5" t="s">
        <v>11</v>
      </c>
    </row>
    <row r="10" customFormat="false" ht="45.75" hidden="false" customHeight="true" outlineLevel="0" collapsed="false">
      <c r="B10" s="4" t="s">
        <v>12</v>
      </c>
      <c r="C10" s="5" t="s">
        <v>13</v>
      </c>
    </row>
    <row r="11" customFormat="false" ht="60.75" hidden="false" customHeight="true" outlineLevel="0" collapsed="false">
      <c r="B11" s="4" t="s">
        <v>14</v>
      </c>
      <c r="C11" s="5" t="s">
        <v>15</v>
      </c>
    </row>
    <row r="12" customFormat="false" ht="45.75" hidden="false" customHeight="true" outlineLevel="0" collapsed="false">
      <c r="B12" s="4" t="s">
        <v>16</v>
      </c>
      <c r="C12"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34"/>
    <col collapsed="false" customWidth="true" hidden="false" outlineLevel="0" max="4" min="4" style="1" width="40"/>
    <col collapsed="false" customWidth="true" hidden="false" outlineLevel="0" max="9" min="5" style="1" width="11"/>
    <col collapsed="false" customWidth="true" hidden="false" outlineLevel="0" max="10" min="10" style="1" width="8"/>
    <col collapsed="false" customWidth="true" hidden="false" outlineLevel="0" max="11" min="11" style="1" width="9"/>
    <col collapsed="false" customWidth="true" hidden="false" outlineLevel="0" max="12" min="12" style="1" width="16"/>
    <col collapsed="false" customWidth="true" hidden="false" outlineLevel="0" max="13" min="13" style="1" width="14"/>
  </cols>
  <sheetData>
    <row r="1" customFormat="false" ht="30" hidden="false" customHeight="true" outlineLevel="0" collapsed="false">
      <c r="A1" s="6" t="s">
        <v>18</v>
      </c>
      <c r="B1" s="6"/>
      <c r="C1" s="6"/>
      <c r="D1" s="6"/>
      <c r="E1" s="6"/>
      <c r="F1" s="6"/>
      <c r="G1" s="6"/>
      <c r="H1" s="6"/>
      <c r="I1" s="6"/>
      <c r="J1" s="6"/>
      <c r="K1" s="6"/>
      <c r="L1" s="6"/>
      <c r="M1" s="6"/>
    </row>
    <row r="2" customFormat="false" ht="19.5" hidden="false" customHeight="true" outlineLevel="0" collapsed="false">
      <c r="A2" s="7" t="s">
        <v>19</v>
      </c>
      <c r="B2" s="7"/>
      <c r="C2" s="7"/>
      <c r="D2" s="7"/>
      <c r="E2" s="7"/>
      <c r="F2" s="7"/>
      <c r="G2" s="7"/>
      <c r="H2" s="7"/>
      <c r="I2" s="7"/>
      <c r="J2" s="7"/>
      <c r="K2" s="7"/>
      <c r="L2" s="7"/>
      <c r="M2" s="7"/>
    </row>
    <row r="4" customFormat="false" ht="15" hidden="false" customHeight="true" outlineLevel="0" collapsed="false">
      <c r="A4" s="8" t="s">
        <v>20</v>
      </c>
      <c r="B4" s="8"/>
      <c r="C4" s="8"/>
      <c r="D4" s="8"/>
      <c r="E4" s="8"/>
      <c r="F4" s="8"/>
      <c r="G4" s="8"/>
      <c r="H4" s="8"/>
      <c r="I4" s="8"/>
      <c r="J4" s="8"/>
      <c r="K4" s="8"/>
      <c r="L4" s="8"/>
      <c r="M4" s="8"/>
    </row>
    <row r="5" customFormat="false" ht="15" hidden="false" customHeight="true" outlineLevel="0" collapsed="false">
      <c r="B5" s="9" t="s">
        <v>21</v>
      </c>
      <c r="C5" s="10" t="s">
        <v>22</v>
      </c>
      <c r="D5" s="10"/>
      <c r="E5" s="10"/>
      <c r="G5" s="9" t="s">
        <v>23</v>
      </c>
      <c r="H5" s="10" t="s">
        <v>24</v>
      </c>
      <c r="I5" s="10"/>
    </row>
    <row r="6" customFormat="false" ht="15" hidden="false" customHeight="true" outlineLevel="0" collapsed="false">
      <c r="B6" s="9" t="s">
        <v>25</v>
      </c>
      <c r="C6" s="11" t="n">
        <v>0.4</v>
      </c>
      <c r="G6" s="9" t="s">
        <v>26</v>
      </c>
      <c r="H6" s="10" t="s">
        <v>27</v>
      </c>
      <c r="I6" s="10"/>
    </row>
    <row r="7" customFormat="false" ht="15" hidden="false" customHeight="true" outlineLevel="0" collapsed="false">
      <c r="B7" s="9" t="s">
        <v>28</v>
      </c>
      <c r="C7" s="11" t="n">
        <v>0.6</v>
      </c>
      <c r="G7" s="9" t="s">
        <v>29</v>
      </c>
      <c r="H7" s="12" t="n">
        <v>0.4</v>
      </c>
      <c r="I7" s="12"/>
    </row>
    <row r="8" customFormat="false" ht="15" hidden="false" customHeight="true" outlineLevel="0" collapsed="false">
      <c r="B8" s="9" t="s">
        <v>30</v>
      </c>
      <c r="C8" s="13" t="n">
        <f aca="false">C7-C6</f>
        <v>0.2</v>
      </c>
      <c r="G8" s="9" t="s">
        <v>31</v>
      </c>
      <c r="H8" s="10" t="s">
        <v>32</v>
      </c>
      <c r="I8" s="10"/>
    </row>
    <row r="10" customFormat="false" ht="15" hidden="false" customHeight="true" outlineLevel="0" collapsed="false">
      <c r="A10" s="8" t="s">
        <v>33</v>
      </c>
      <c r="B10" s="8"/>
      <c r="C10" s="8"/>
      <c r="D10" s="8"/>
      <c r="E10" s="8"/>
      <c r="F10" s="8"/>
      <c r="G10" s="8"/>
      <c r="H10" s="8"/>
      <c r="I10" s="8"/>
      <c r="J10" s="8"/>
      <c r="K10" s="8"/>
      <c r="L10" s="8"/>
      <c r="M10" s="8"/>
    </row>
    <row r="11" customFormat="false" ht="33.75" hidden="false" customHeight="true" outlineLevel="0" collapsed="false">
      <c r="A11" s="14" t="s">
        <v>34</v>
      </c>
      <c r="B11" s="14" t="s">
        <v>35</v>
      </c>
      <c r="C11" s="14" t="s">
        <v>36</v>
      </c>
      <c r="D11" s="14" t="s">
        <v>37</v>
      </c>
      <c r="E11" s="14" t="s">
        <v>38</v>
      </c>
      <c r="F11" s="14" t="s">
        <v>39</v>
      </c>
      <c r="G11" s="14" t="s">
        <v>40</v>
      </c>
      <c r="H11" s="14" t="s">
        <v>41</v>
      </c>
      <c r="I11" s="14" t="s">
        <v>42</v>
      </c>
      <c r="J11" s="14" t="s">
        <v>43</v>
      </c>
      <c r="K11" s="14" t="s">
        <v>44</v>
      </c>
      <c r="L11" s="14" t="s">
        <v>26</v>
      </c>
      <c r="M11" s="14" t="s">
        <v>31</v>
      </c>
    </row>
    <row r="12" customFormat="false" ht="54" hidden="false" customHeight="true" outlineLevel="0" collapsed="false">
      <c r="A12" s="15" t="n">
        <v>1</v>
      </c>
      <c r="B12" s="16" t="s">
        <v>45</v>
      </c>
      <c r="C12" s="17" t="s">
        <v>46</v>
      </c>
      <c r="D12" s="17" t="s">
        <v>47</v>
      </c>
      <c r="E12" s="18" t="n">
        <v>0.1</v>
      </c>
      <c r="F12" s="15" t="s">
        <v>48</v>
      </c>
      <c r="G12" s="15" t="n">
        <v>9</v>
      </c>
      <c r="H12" s="15" t="n">
        <v>7</v>
      </c>
      <c r="I12" s="15" t="n">
        <v>6</v>
      </c>
      <c r="J12" s="19" t="n">
        <f aca="false">IF(COUNT(G12:I12)=3,G12*H12*I12,"")</f>
        <v>378</v>
      </c>
      <c r="K12" s="19" t="n">
        <f aca="false">IF(J12="","",RANK(J12,$J$12:$J$15,0))</f>
        <v>1</v>
      </c>
      <c r="L12" s="20" t="s">
        <v>49</v>
      </c>
      <c r="M12" s="20" t="s">
        <v>50</v>
      </c>
    </row>
    <row r="13" customFormat="false" ht="54" hidden="false" customHeight="true" outlineLevel="0" collapsed="false">
      <c r="A13" s="15" t="n">
        <v>2</v>
      </c>
      <c r="B13" s="16" t="s">
        <v>51</v>
      </c>
      <c r="C13" s="17" t="s">
        <v>52</v>
      </c>
      <c r="D13" s="17" t="s">
        <v>53</v>
      </c>
      <c r="E13" s="18" t="n">
        <v>0.05</v>
      </c>
      <c r="F13" s="15" t="s">
        <v>48</v>
      </c>
      <c r="G13" s="15" t="n">
        <v>7</v>
      </c>
      <c r="H13" s="15" t="n">
        <v>7</v>
      </c>
      <c r="I13" s="15" t="n">
        <v>5</v>
      </c>
      <c r="J13" s="19" t="n">
        <f aca="false">IF(COUNT(G13:I13)=3,G13*H13*I13,"")</f>
        <v>245</v>
      </c>
      <c r="K13" s="19" t="n">
        <f aca="false">IF(J13="","",RANK(J13,$J$12:$J$15,0))</f>
        <v>3</v>
      </c>
      <c r="L13" s="20" t="s">
        <v>54</v>
      </c>
      <c r="M13" s="20" t="s">
        <v>50</v>
      </c>
    </row>
    <row r="14" customFormat="false" ht="54" hidden="false" customHeight="true" outlineLevel="0" collapsed="false">
      <c r="A14" s="15" t="n">
        <v>3</v>
      </c>
      <c r="B14" s="16" t="s">
        <v>55</v>
      </c>
      <c r="C14" s="17" t="s">
        <v>56</v>
      </c>
      <c r="D14" s="17" t="s">
        <v>57</v>
      </c>
      <c r="E14" s="18" t="n">
        <v>0.03</v>
      </c>
      <c r="F14" s="15" t="s">
        <v>58</v>
      </c>
      <c r="G14" s="15" t="n">
        <v>5</v>
      </c>
      <c r="H14" s="15" t="n">
        <v>8</v>
      </c>
      <c r="I14" s="15" t="n">
        <v>8</v>
      </c>
      <c r="J14" s="19" t="n">
        <f aca="false">IF(COUNT(G14:I14)=3,G14*H14*I14,"")</f>
        <v>320</v>
      </c>
      <c r="K14" s="19" t="n">
        <f aca="false">IF(J14="","",RANK(J14,$J$12:$J$15,0))</f>
        <v>2</v>
      </c>
      <c r="L14" s="20" t="s">
        <v>59</v>
      </c>
      <c r="M14" s="20" t="s">
        <v>50</v>
      </c>
    </row>
    <row r="15" customFormat="false" ht="54" hidden="false" customHeight="true" outlineLevel="0" collapsed="false">
      <c r="A15" s="15" t="n">
        <v>4</v>
      </c>
      <c r="B15" s="16" t="s">
        <v>60</v>
      </c>
      <c r="C15" s="17" t="s">
        <v>61</v>
      </c>
      <c r="D15" s="17" t="s">
        <v>62</v>
      </c>
      <c r="E15" s="18" t="n">
        <v>0.02</v>
      </c>
      <c r="F15" s="15" t="s">
        <v>58</v>
      </c>
      <c r="G15" s="15" t="n">
        <v>4</v>
      </c>
      <c r="H15" s="15" t="n">
        <v>7</v>
      </c>
      <c r="I15" s="15" t="n">
        <v>8</v>
      </c>
      <c r="J15" s="19" t="n">
        <f aca="false">IF(COUNT(G15:I15)=3,G15*H15*I15,"")</f>
        <v>224</v>
      </c>
      <c r="K15" s="19" t="n">
        <f aca="false">IF(J15="","",RANK(J15,$J$12:$J$15,0))</f>
        <v>4</v>
      </c>
      <c r="L15" s="20" t="s">
        <v>63</v>
      </c>
      <c r="M15" s="20" t="s">
        <v>50</v>
      </c>
    </row>
    <row r="17" customFormat="false" ht="21.75" hidden="false" customHeight="true" outlineLevel="0" collapsed="false">
      <c r="D17" s="21" t="s">
        <v>64</v>
      </c>
      <c r="E17" s="22" t="n">
        <f aca="false">SUM(E12:E15)</f>
        <v>0.2</v>
      </c>
      <c r="F17" s="23" t="str">
        <f aca="false">IF(SUM(E12:E15)&gt;=C8,"✓ Initiatives cover the "&amp;TEXT(C8,"0.0%")&amp;" gap","⚠ Short by "&amp;TEXT(C8-SUM(E12:E15),"0.0%")&amp;" — add or strengthen an initiative")</f>
        <v>✓ Initiatives cover the 20.0% gap</v>
      </c>
      <c r="G17" s="23"/>
      <c r="H17" s="23"/>
      <c r="I17" s="23"/>
      <c r="J17" s="23"/>
      <c r="K17" s="23"/>
      <c r="L17" s="23"/>
      <c r="M17" s="23"/>
    </row>
    <row r="19" customFormat="false" ht="15" hidden="false" customHeight="true" outlineLevel="0" collapsed="false">
      <c r="A19" s="8" t="s">
        <v>65</v>
      </c>
      <c r="B19" s="8"/>
      <c r="C19" s="8"/>
      <c r="D19" s="8"/>
      <c r="E19" s="8"/>
      <c r="F19" s="8"/>
      <c r="G19" s="8"/>
      <c r="H19" s="8"/>
      <c r="I19" s="8"/>
      <c r="J19" s="8"/>
      <c r="K19" s="8"/>
      <c r="L19" s="8"/>
      <c r="M19" s="8"/>
    </row>
    <row r="20" customFormat="false" ht="30" hidden="false" customHeight="true" outlineLevel="0" collapsed="false">
      <c r="B20" s="9" t="s">
        <v>66</v>
      </c>
      <c r="C20" s="24" t="n">
        <v>4000</v>
      </c>
      <c r="D20" s="25" t="s">
        <v>67</v>
      </c>
      <c r="E20" s="25"/>
      <c r="F20" s="25"/>
      <c r="G20" s="25"/>
      <c r="H20" s="25"/>
      <c r="I20" s="25"/>
      <c r="J20" s="25"/>
      <c r="K20" s="25"/>
      <c r="L20" s="25"/>
      <c r="M20" s="25"/>
    </row>
    <row r="21" customFormat="false" ht="30" hidden="false" customHeight="true" outlineLevel="0" collapsed="false">
      <c r="B21" s="9" t="s">
        <v>68</v>
      </c>
      <c r="C21" s="24" t="n">
        <v>884</v>
      </c>
      <c r="D21" s="25" t="s">
        <v>69</v>
      </c>
      <c r="E21" s="25"/>
      <c r="F21" s="25"/>
      <c r="G21" s="25"/>
      <c r="H21" s="25"/>
      <c r="I21" s="25"/>
      <c r="J21" s="25"/>
      <c r="K21" s="25"/>
      <c r="L21" s="25"/>
      <c r="M21" s="25"/>
    </row>
    <row r="22" customFormat="false" ht="30" hidden="false" customHeight="true" outlineLevel="0" collapsed="false">
      <c r="B22" s="9" t="s">
        <v>70</v>
      </c>
      <c r="C22" s="26" t="n">
        <v>2.7</v>
      </c>
      <c r="D22" s="25" t="s">
        <v>71</v>
      </c>
      <c r="E22" s="25"/>
      <c r="F22" s="25"/>
      <c r="G22" s="25"/>
      <c r="H22" s="25"/>
      <c r="I22" s="25"/>
      <c r="J22" s="25"/>
      <c r="K22" s="25"/>
      <c r="L22" s="25"/>
      <c r="M22" s="25"/>
    </row>
    <row r="24" customFormat="false" ht="45" hidden="false" customHeight="true" outlineLevel="0" collapsed="false">
      <c r="A24" s="27" t="s">
        <v>34</v>
      </c>
      <c r="B24" s="27" t="s">
        <v>35</v>
      </c>
      <c r="C24" s="27" t="s">
        <v>72</v>
      </c>
      <c r="D24" s="27"/>
      <c r="E24" s="27" t="s">
        <v>73</v>
      </c>
      <c r="F24" s="27" t="s">
        <v>74</v>
      </c>
      <c r="G24" s="27" t="s">
        <v>75</v>
      </c>
      <c r="H24" s="27" t="s">
        <v>76</v>
      </c>
      <c r="I24" s="27" t="s">
        <v>77</v>
      </c>
      <c r="J24" s="27" t="s">
        <v>78</v>
      </c>
      <c r="K24" s="27" t="s">
        <v>79</v>
      </c>
      <c r="L24" s="27" t="s">
        <v>80</v>
      </c>
      <c r="M24" s="27" t="s">
        <v>81</v>
      </c>
    </row>
    <row r="25" customFormat="false" ht="42" hidden="false" customHeight="true" outlineLevel="0" collapsed="false">
      <c r="A25" s="28" t="n">
        <v>1</v>
      </c>
      <c r="B25" s="29" t="str">
        <f aca="false">IF(B12="","",B12)</f>
        <v>Rebuild ID-capture UX</v>
      </c>
      <c r="C25" s="30" t="str">
        <f aca="false">IF(OR(NOT(ISNUMBER(E25)),NOT(ISNUMBER($C$20))),"",TEXT(E25,"0")&amp;" person-weeks x "&amp;TEXT($C$20,"$#,##0")&amp;" = "&amp;TEXT(F25,"$#,##0")&amp;". "&amp;IF(NOT(ISNUMBER(G25)),"Fill in the value of +1pp above to price the return.",TEXT(E12*100,"0.0")&amp;"pp x "&amp;TEXT($C$21,"$#,##0")&amp;" = "&amp;TEXT(G25,"$#,##0")&amp;" a month once it plateaus, but month one is only "&amp;TEXT(G25/$C$22,"$#,##0")&amp;"."))</f>
        <v>14 person-weeks x $4,000 = $56,000. 10.0pp x $884 = $8,840 a month once it plateaus, but month one is only $3,274.</v>
      </c>
      <c r="D25" s="30"/>
      <c r="E25" s="31" t="n">
        <v>14</v>
      </c>
      <c r="F25" s="32" t="n">
        <f aca="false">IF(OR(NOT(ISNUMBER(E25)),NOT(ISNUMBER($C$20))),"",E25*$C$20)</f>
        <v>56000</v>
      </c>
      <c r="G25" s="32" t="n">
        <f aca="false">IF(OR(NOT(ISNUMBER(E12)),NOT(ISNUMBER($C$21))),"",E12*100*$C$21)</f>
        <v>8840</v>
      </c>
      <c r="H25" s="33" t="n">
        <f aca="false">IF(OR(NOT(ISNUMBER(F25)),NOT(ISNUMBER(G25)),NOT(ISNUMBER($C$22)),G25&lt;=0,$C$22&lt;=0),"",IF(F25/(G25/$C$22)&lt;=INT($C$22)*(INT($C$22)+1)/2,CEILING((-1+SQRT(1+8*(F25/(G25/$C$22))))/2,1),CEILING(INT($C$22)+(F25/(G25/$C$22)-INT($C$22)*(INT($C$22)+1)/2)/$C$22,1)))</f>
        <v>8</v>
      </c>
      <c r="I25" s="32" t="n">
        <f aca="false">IF(OR(NOT(ISNUMBER(G25)),NOT(ISNUMBER($C$22)),$C$22&lt;=0),"",(G25/$C$22)*IF(INT($C$22)&gt;=12,78,INT($C$22)*(INT($C$22)+1)/2+(12-INT($C$22))*$C$22))</f>
        <v>98222.2222222222</v>
      </c>
      <c r="J25" s="34" t="n">
        <f aca="false">IF(OR(NOT(ISNUMBER(I25)),NOT(ISNUMBER(F25)),F25&lt;=0),"",I25/F25)</f>
        <v>1.75396825396825</v>
      </c>
      <c r="K25" s="33" t="n">
        <f aca="false">IF(K12="","",K12)</f>
        <v>1</v>
      </c>
      <c r="L25" s="33" t="n">
        <f aca="false">IF(NOT(ISNUMBER(H25)),"",RANK(H25,$H$25:$H$28,1))</f>
        <v>1</v>
      </c>
      <c r="M25" s="35" t="str">
        <f aca="false">IF(NOT(ISNUMBER(J25)),"",IF(J25&gt;=1,"Pays for itself inside year 1","Does not pay back inside 12 months"))</f>
        <v>Pays for itself inside year 1</v>
      </c>
    </row>
    <row r="26" customFormat="false" ht="42" hidden="false" customHeight="true" outlineLevel="0" collapsed="false">
      <c r="A26" s="28" t="n">
        <v>2</v>
      </c>
      <c r="B26" s="29" t="str">
        <f aca="false">IF(B13="","",B13)</f>
        <v>Fix Android camera &amp; crashes</v>
      </c>
      <c r="C26" s="30" t="str">
        <f aca="false">IF(OR(NOT(ISNUMBER(E26)),NOT(ISNUMBER($C$20))),"",TEXT(E26,"0")&amp;" person-weeks x "&amp;TEXT($C$20,"$#,##0")&amp;" = "&amp;TEXT(F26,"$#,##0")&amp;". "&amp;IF(NOT(ISNUMBER(G26)),"Fill in the value of +1pp above to price the return.",TEXT(E13*100,"0.0")&amp;"pp x "&amp;TEXT($C$21,"$#,##0")&amp;" = "&amp;TEXT(G26,"$#,##0")&amp;" a month once it plateaus, but month one is only "&amp;TEXT(G26/$C$22,"$#,##0")&amp;"."))</f>
        <v>12 person-weeks x $4,000 = $48,000. 5.0pp x $884 = $4,420 a month once it plateaus, but month one is only $1,637.</v>
      </c>
      <c r="D26" s="30"/>
      <c r="E26" s="31" t="n">
        <v>12</v>
      </c>
      <c r="F26" s="32" t="n">
        <f aca="false">IF(OR(NOT(ISNUMBER(E26)),NOT(ISNUMBER($C$20))),"",E26*$C$20)</f>
        <v>48000</v>
      </c>
      <c r="G26" s="32" t="n">
        <f aca="false">IF(OR(NOT(ISNUMBER(E13)),NOT(ISNUMBER($C$21))),"",E13*100*$C$21)</f>
        <v>4420</v>
      </c>
      <c r="H26" s="33" t="n">
        <f aca="false">IF(OR(NOT(ISNUMBER(F26)),NOT(ISNUMBER(G26)),NOT(ISNUMBER($C$22)),G26&lt;=0,$C$22&lt;=0),"",IF(F26/(G26/$C$22)&lt;=INT($C$22)*(INT($C$22)+1)/2,CEILING((-1+SQRT(1+8*(F26/(G26/$C$22))))/2,1),CEILING(INT($C$22)+(F26/(G26/$C$22)-INT($C$22)*(INT($C$22)+1)/2)/$C$22,1)))</f>
        <v>12</v>
      </c>
      <c r="I26" s="32" t="n">
        <f aca="false">IF(OR(NOT(ISNUMBER(G26)),NOT(ISNUMBER($C$22)),$C$22&lt;=0),"",(G26/$C$22)*IF(INT($C$22)&gt;=12,78,INT($C$22)*(INT($C$22)+1)/2+(12-INT($C$22))*$C$22))</f>
        <v>49111.1111111111</v>
      </c>
      <c r="J26" s="34" t="n">
        <f aca="false">IF(OR(NOT(ISNUMBER(I26)),NOT(ISNUMBER(F26)),F26&lt;=0),"",I26/F26)</f>
        <v>1.02314814814815</v>
      </c>
      <c r="K26" s="33" t="n">
        <f aca="false">IF(K13="","",K13)</f>
        <v>3</v>
      </c>
      <c r="L26" s="33" t="n">
        <f aca="false">IF(NOT(ISNUMBER(H26)),"",RANK(H26,$H$25:$H$28,1))</f>
        <v>3</v>
      </c>
      <c r="M26" s="35" t="str">
        <f aca="false">IF(NOT(ISNUMBER(J26)),"",IF(J26&gt;=1,"Pays for itself inside year 1","Does not pay back inside 12 months"))</f>
        <v>Pays for itself inside year 1</v>
      </c>
    </row>
    <row r="27" customFormat="false" ht="42" hidden="false" customHeight="true" outlineLevel="0" collapsed="false">
      <c r="A27" s="28" t="n">
        <v>3</v>
      </c>
      <c r="B27" s="29" t="str">
        <f aca="false">IF(B14="","",B14)</f>
        <v>Set expectations + soft-fail</v>
      </c>
      <c r="C27" s="30" t="str">
        <f aca="false">IF(OR(NOT(ISNUMBER(E27)),NOT(ISNUMBER($C$20))),"",TEXT(E27,"0")&amp;" person-weeks x "&amp;TEXT($C$20,"$#,##0")&amp;" = "&amp;TEXT(F27,"$#,##0")&amp;". "&amp;IF(NOT(ISNUMBER(G27)),"Fill in the value of +1pp above to price the return.",TEXT(E14*100,"0.0")&amp;"pp x "&amp;TEXT($C$21,"$#,##0")&amp;" = "&amp;TEXT(G27,"$#,##0")&amp;" a month once it plateaus, but month one is only "&amp;TEXT(G27/$C$22,"$#,##0")&amp;"."))</f>
        <v>6 person-weeks x $4,000 = $24,000. 3.0pp x $884 = $2,652 a month once it plateaus, but month one is only $982.</v>
      </c>
      <c r="D27" s="30"/>
      <c r="E27" s="31" t="n">
        <v>6</v>
      </c>
      <c r="F27" s="32" t="n">
        <f aca="false">IF(OR(NOT(ISNUMBER(E27)),NOT(ISNUMBER($C$20))),"",E27*$C$20)</f>
        <v>24000</v>
      </c>
      <c r="G27" s="32" t="n">
        <f aca="false">IF(OR(NOT(ISNUMBER(E14)),NOT(ISNUMBER($C$21))),"",E14*100*$C$21)</f>
        <v>2652</v>
      </c>
      <c r="H27" s="33" t="n">
        <f aca="false">IF(OR(NOT(ISNUMBER(F27)),NOT(ISNUMBER(G27)),NOT(ISNUMBER($C$22)),G27&lt;=0,$C$22&lt;=0),"",IF(F27/(G27/$C$22)&lt;=INT($C$22)*(INT($C$22)+1)/2,CEILING((-1+SQRT(1+8*(F27/(G27/$C$22))))/2,1),CEILING(INT($C$22)+(F27/(G27/$C$22)-INT($C$22)*(INT($C$22)+1)/2)/$C$22,1)))</f>
        <v>10</v>
      </c>
      <c r="I27" s="32" t="n">
        <f aca="false">IF(OR(NOT(ISNUMBER(G27)),NOT(ISNUMBER($C$22)),$C$22&lt;=0),"",(G27/$C$22)*IF(INT($C$22)&gt;=12,78,INT($C$22)*(INT($C$22)+1)/2+(12-INT($C$22))*$C$22))</f>
        <v>29466.6666666667</v>
      </c>
      <c r="J27" s="34" t="n">
        <f aca="false">IF(OR(NOT(ISNUMBER(I27)),NOT(ISNUMBER(F27)),F27&lt;=0),"",I27/F27)</f>
        <v>1.22777777777778</v>
      </c>
      <c r="K27" s="33" t="n">
        <f aca="false">IF(K14="","",K14)</f>
        <v>2</v>
      </c>
      <c r="L27" s="33" t="n">
        <f aca="false">IF(NOT(ISNUMBER(H27)),"",RANK(H27,$H$25:$H$28,1))</f>
        <v>2</v>
      </c>
      <c r="M27" s="35" t="str">
        <f aca="false">IF(NOT(ISNUMBER(J27)),"",IF(J27&gt;=1,"Pays for itself inside year 1","Does not pay back inside 12 months"))</f>
        <v>Pays for itself inside year 1</v>
      </c>
    </row>
    <row r="28" customFormat="false" ht="42" hidden="false" customHeight="true" outlineLevel="0" collapsed="false">
      <c r="A28" s="28" t="n">
        <v>4</v>
      </c>
      <c r="B28" s="29" t="str">
        <f aca="false">IF(B15="","",B15)</f>
        <v>Recover abandoners</v>
      </c>
      <c r="C28" s="30" t="str">
        <f aca="false">IF(OR(NOT(ISNUMBER(E28)),NOT(ISNUMBER($C$20))),"",TEXT(E28,"0")&amp;" person-weeks x "&amp;TEXT($C$20,"$#,##0")&amp;" = "&amp;TEXT(F28,"$#,##0")&amp;". "&amp;IF(NOT(ISNUMBER(G28)),"Fill in the value of +1pp above to price the return.",TEXT(E15*100,"0.0")&amp;"pp x "&amp;TEXT($C$21,"$#,##0")&amp;" = "&amp;TEXT(G28,"$#,##0")&amp;" a month once it plateaus, but month one is only "&amp;TEXT(G28/$C$22,"$#,##0")&amp;"."))</f>
        <v>5 person-weeks x $4,000 = $20,000. 2.0pp x $884 = $1,768 a month once it plateaus, but month one is only $655.</v>
      </c>
      <c r="D28" s="30"/>
      <c r="E28" s="31" t="n">
        <v>5</v>
      </c>
      <c r="F28" s="32" t="n">
        <f aca="false">IF(OR(NOT(ISNUMBER(E28)),NOT(ISNUMBER($C$20))),"",E28*$C$20)</f>
        <v>20000</v>
      </c>
      <c r="G28" s="32" t="n">
        <f aca="false">IF(OR(NOT(ISNUMBER(E15)),NOT(ISNUMBER($C$21))),"",E15*100*$C$21)</f>
        <v>1768</v>
      </c>
      <c r="H28" s="33" t="n">
        <f aca="false">IF(OR(NOT(ISNUMBER(F28)),NOT(ISNUMBER(G28)),NOT(ISNUMBER($C$22)),G28&lt;=0,$C$22&lt;=0),"",IF(F28/(G28/$C$22)&lt;=INT($C$22)*(INT($C$22)+1)/2,CEILING((-1+SQRT(1+8*(F28/(G28/$C$22))))/2,1),CEILING(INT($C$22)+(F28/(G28/$C$22)-INT($C$22)*(INT($C$22)+1)/2)/$C$22,1)))</f>
        <v>13</v>
      </c>
      <c r="I28" s="32" t="n">
        <f aca="false">IF(OR(NOT(ISNUMBER(G28)),NOT(ISNUMBER($C$22)),$C$22&lt;=0),"",(G28/$C$22)*IF(INT($C$22)&gt;=12,78,INT($C$22)*(INT($C$22)+1)/2+(12-INT($C$22))*$C$22))</f>
        <v>19644.4444444444</v>
      </c>
      <c r="J28" s="34" t="n">
        <f aca="false">IF(OR(NOT(ISNUMBER(I28)),NOT(ISNUMBER(F28)),F28&lt;=0),"",I28/F28)</f>
        <v>0.982222222222222</v>
      </c>
      <c r="K28" s="33" t="n">
        <f aca="false">IF(K15="","",K15)</f>
        <v>4</v>
      </c>
      <c r="L28" s="33" t="n">
        <f aca="false">IF(NOT(ISNUMBER(H28)),"",RANK(H28,$H$25:$H$28,1))</f>
        <v>4</v>
      </c>
      <c r="M28" s="35" t="str">
        <f aca="false">IF(NOT(ISNUMBER(J28)),"",IF(J28&gt;=1,"Pays for itself inside year 1","Does not pay back inside 12 months"))</f>
        <v>Does not pay back inside 12 months</v>
      </c>
    </row>
    <row r="29" customFormat="false" ht="30" hidden="false" customHeight="true" outlineLevel="0" collapsed="false">
      <c r="B29" s="36" t="s">
        <v>82</v>
      </c>
      <c r="C29" s="30" t="str">
        <f aca="false">IF(NOT(ISNUMBER(H29)),"","The four bets together. Payback is "&amp;TEXT(H29,"0")&amp;" months, and year one returns "&amp;TEXT(J29,"$0.00")&amp;" for every $1 spent.")</f>
        <v>The four bets together. Payback is 10 months, and year one returns $1.33 for every $1 spent.</v>
      </c>
      <c r="D29" s="30"/>
      <c r="E29" s="33" t="n">
        <f aca="false">IF(COUNT(E25:E28)=0,"",SUM(E25:E28))</f>
        <v>37</v>
      </c>
      <c r="F29" s="32" t="n">
        <f aca="false">IF(OR(NOT(ISNUMBER(E29)),NOT(ISNUMBER($C$20))),"",E29*$C$20)</f>
        <v>148000</v>
      </c>
      <c r="G29" s="32" t="n">
        <f aca="false">IF(COUNT(G25:G28)=0,"",SUM(G25:G28))</f>
        <v>17680</v>
      </c>
      <c r="H29" s="33" t="n">
        <f aca="false">IF(OR(NOT(ISNUMBER(F29)),NOT(ISNUMBER(G29)),NOT(ISNUMBER($C$22)),G29&lt;=0,$C$22&lt;=0),"",IF(F29/(G29/$C$22)&lt;=INT($C$22)*(INT($C$22)+1)/2,CEILING((-1+SQRT(1+8*(F29/(G29/$C$22))))/2,1),CEILING(INT($C$22)+(F29/(G29/$C$22)-INT($C$22)*(INT($C$22)+1)/2)/$C$22,1)))</f>
        <v>10</v>
      </c>
      <c r="I29" s="32" t="n">
        <f aca="false">IF(OR(NOT(ISNUMBER(G29)),NOT(ISNUMBER($C$22)),$C$22&lt;=0),"",(G29/$C$22)*IF(INT($C$22)&gt;=12,78,INT($C$22)*(INT($C$22)+1)/2+(12-INT($C$22))*$C$22))</f>
        <v>196444.444444444</v>
      </c>
      <c r="J29" s="34" t="n">
        <f aca="false">IF(OR(NOT(ISNUMBER(I29)),NOT(ISNUMBER(F29)),F29&lt;=0),"",I29/F29)</f>
        <v>1.32732732732733</v>
      </c>
      <c r="K29" s="37"/>
      <c r="L29" s="37"/>
      <c r="M29" s="35" t="str">
        <f aca="false">IF(NOT(ISNUMBER(J29)),"",IF(J29&gt;=1,"Pays for itself inside year 1","Does not pay back inside 12 months"))</f>
        <v>Pays for itself inside year 1</v>
      </c>
    </row>
    <row r="31" customFormat="false" ht="45.75" hidden="false" customHeight="true" outlineLevel="0" collapsed="false">
      <c r="B31" s="30" t="str">
        <f aca="false">IF(OR(NOT(ISNUMBER(I29)),I29&lt;=0),"Fill in the three assumptions above and the person-weeks on each bet. Nothing here is computed until you do — which is the point: a plan without a price is an opinion.","Say both numbers out loud. Month one is worth "&amp;TEXT(G29/$C$22,"$#,##0")&amp;", not "&amp;TEXT(G29,"$#,##0")&amp;" — quoting the plateau as a launch-month figure overstates that month by "&amp;TEXT($C$22,"0.0")&amp;"x. Across a full year the same ramp costs you far less than you would guess: "&amp;TEXT(I29,"$#,##0")&amp;" against the naive "&amp;TEXT(G29*12,"$#,##0")&amp;", about "&amp;TEXT(G29*12/I29-1,"0%")&amp;" apart. The ramp wrecks the launch-month claim and barely touches the annual one, so be careful which of the two you put on a slide.")</f>
        <v>Say both numbers out loud. Month one is worth $6,548, not $17,680 — quoting the plateau as a launch-month figure overstates that month by 2.7x. Across a full year the same ramp costs you far less than you would guess: $196,444 against the naive $212,160, about 8% apart. The ramp wrecks the launch-month claim and barely touches the annual one, so be careful which of the two you put on a slide.</v>
      </c>
      <c r="C31" s="30"/>
      <c r="D31" s="30"/>
      <c r="E31" s="30"/>
      <c r="F31" s="30"/>
      <c r="G31" s="30"/>
      <c r="H31" s="30"/>
      <c r="I31" s="30"/>
      <c r="J31" s="30"/>
      <c r="K31" s="30"/>
      <c r="L31" s="30"/>
      <c r="M31" s="30"/>
    </row>
    <row r="32" customFormat="false" ht="45.75" hidden="false" customHeight="true" outlineLevel="0" collapsed="false">
      <c r="B32" s="30" t="str">
        <f aca="false">IF(COUNT($H$25:$H$28)&lt;2,"Score the ICE and cost at least two bets to find out whether costing the plan reorders it. That comparison is the whole reason this block exists.",IF(SUMPRODUCT(--($K$25:$K$28&lt;&gt;$L$25:$L$28))=0,"Costing the plan did not reorder it — ICE and payback agree on the same order. That is a genuine result and a lucky one: the bets with the best judgement scores also return their money soonest, so there is nothing to trade off. Say it out loud, because the interesting version of this exercise is the one where the two disagree, and you should know which you are holding.","Costing the plan reordered it — "&amp;TEXT(SUMPRODUCT(--($K$25:$K$28&lt;&gt;$L$25:$L$28)),"0")&amp;" of these bets sit in a different place once cost enters. When ICE and payback disagree the honest answer is usually: ship the fast-payback one first to buy credibility, then spend it on the expensive one."))</f>
        <v>Costing the plan did not reorder it — ICE and payback agree on the same order. That is a genuine result and a lucky one: the bets with the best judgement scores also return their money soonest, so there is nothing to trade off. Say it out loud, because the interesting version of this exercise is the one where the two disagree, and you should know which you are holding.</v>
      </c>
      <c r="C32" s="30"/>
      <c r="D32" s="30"/>
      <c r="E32" s="30"/>
      <c r="F32" s="30"/>
      <c r="G32" s="30"/>
      <c r="H32" s="30"/>
      <c r="I32" s="30"/>
      <c r="J32" s="30"/>
      <c r="K32" s="30"/>
      <c r="L32" s="30"/>
      <c r="M32" s="30"/>
    </row>
  </sheetData>
  <mergeCells count="22">
    <mergeCell ref="A1:M1"/>
    <mergeCell ref="A2:M2"/>
    <mergeCell ref="A4:M4"/>
    <mergeCell ref="C5:E5"/>
    <mergeCell ref="H5:I5"/>
    <mergeCell ref="H6:I6"/>
    <mergeCell ref="H7:I7"/>
    <mergeCell ref="H8:I8"/>
    <mergeCell ref="A10:M10"/>
    <mergeCell ref="F17:M17"/>
    <mergeCell ref="A19:M19"/>
    <mergeCell ref="D20:M20"/>
    <mergeCell ref="D21:M21"/>
    <mergeCell ref="D22:M22"/>
    <mergeCell ref="C24:D24"/>
    <mergeCell ref="C25:D25"/>
    <mergeCell ref="C26:D26"/>
    <mergeCell ref="C27:D27"/>
    <mergeCell ref="C28:D28"/>
    <mergeCell ref="C29:D29"/>
    <mergeCell ref="B31:M31"/>
    <mergeCell ref="B32:M32"/>
  </mergeCells>
  <dataValidations count="2">
    <dataValidation allowBlank="true" errorStyle="stop" operator="between" showDropDown="false" showErrorMessage="false" showInputMessage="false" sqref="F12:F15" type="list">
      <formula1>"S,M,L"</formula1>
      <formula2>0</formula2>
    </dataValidation>
    <dataValidation allowBlank="true" errorStyle="stop" operator="between" showDropDown="false" showErrorMessage="false" showInputMessage="false" sqref="M12:M15" type="list">
      <formula1>"Not started,In progress,Shipped,Measuring,Done"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18"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34"/>
    <col collapsed="false" customWidth="true" hidden="false" outlineLevel="0" max="4" min="4" style="1" width="40"/>
    <col collapsed="false" customWidth="true" hidden="false" outlineLevel="0" max="9" min="5" style="1" width="11"/>
    <col collapsed="false" customWidth="true" hidden="false" outlineLevel="0" max="10" min="10" style="1" width="8"/>
    <col collapsed="false" customWidth="true" hidden="false" outlineLevel="0" max="11" min="11" style="1" width="9"/>
    <col collapsed="false" customWidth="true" hidden="false" outlineLevel="0" max="12" min="12" style="1" width="16"/>
    <col collapsed="false" customWidth="true" hidden="false" outlineLevel="0" max="13" min="13" style="1" width="14"/>
  </cols>
  <sheetData>
    <row r="1" customFormat="false" ht="30" hidden="false" customHeight="true" outlineLevel="0" collapsed="false">
      <c r="A1" s="6" t="s">
        <v>83</v>
      </c>
      <c r="B1" s="6"/>
      <c r="C1" s="6"/>
      <c r="D1" s="6"/>
      <c r="E1" s="6"/>
      <c r="F1" s="6"/>
      <c r="G1" s="6"/>
      <c r="H1" s="6"/>
      <c r="I1" s="6"/>
      <c r="J1" s="6"/>
      <c r="K1" s="6"/>
      <c r="L1" s="6"/>
      <c r="M1" s="6"/>
    </row>
    <row r="2" customFormat="false" ht="19.5" hidden="false" customHeight="true" outlineLevel="0" collapsed="false">
      <c r="A2" s="7" t="s">
        <v>19</v>
      </c>
      <c r="B2" s="7"/>
      <c r="C2" s="7"/>
      <c r="D2" s="7"/>
      <c r="E2" s="7"/>
      <c r="F2" s="7"/>
      <c r="G2" s="7"/>
      <c r="H2" s="7"/>
      <c r="I2" s="7"/>
      <c r="J2" s="7"/>
      <c r="K2" s="7"/>
      <c r="L2" s="7"/>
      <c r="M2" s="7"/>
    </row>
    <row r="4" customFormat="false" ht="15" hidden="false" customHeight="true" outlineLevel="0" collapsed="false">
      <c r="A4" s="8" t="s">
        <v>20</v>
      </c>
      <c r="B4" s="8"/>
      <c r="C4" s="8"/>
      <c r="D4" s="8"/>
      <c r="E4" s="8"/>
      <c r="F4" s="8"/>
      <c r="G4" s="8"/>
      <c r="H4" s="8"/>
      <c r="I4" s="8"/>
      <c r="J4" s="8"/>
      <c r="K4" s="8"/>
      <c r="L4" s="8"/>
      <c r="M4" s="8"/>
    </row>
    <row r="5" customFormat="false" ht="15" hidden="false" customHeight="true" outlineLevel="0" collapsed="false">
      <c r="B5" s="9" t="s">
        <v>21</v>
      </c>
      <c r="C5" s="38"/>
      <c r="D5" s="38"/>
      <c r="E5" s="38"/>
      <c r="G5" s="9" t="s">
        <v>23</v>
      </c>
      <c r="H5" s="38"/>
      <c r="I5" s="38"/>
    </row>
    <row r="6" customFormat="false" ht="15" hidden="false" customHeight="true" outlineLevel="0" collapsed="false">
      <c r="B6" s="9" t="s">
        <v>25</v>
      </c>
      <c r="C6" s="39"/>
      <c r="G6" s="9" t="s">
        <v>26</v>
      </c>
      <c r="H6" s="38"/>
      <c r="I6" s="38"/>
    </row>
    <row r="7" customFormat="false" ht="15" hidden="false" customHeight="true" outlineLevel="0" collapsed="false">
      <c r="B7" s="9" t="s">
        <v>28</v>
      </c>
      <c r="C7" s="39"/>
      <c r="G7" s="9" t="s">
        <v>29</v>
      </c>
      <c r="H7" s="40"/>
      <c r="I7" s="40"/>
    </row>
    <row r="8" customFormat="false" ht="15" hidden="false" customHeight="true" outlineLevel="0" collapsed="false">
      <c r="B8" s="9" t="s">
        <v>30</v>
      </c>
      <c r="C8" s="13" t="n">
        <f aca="false">C7-C6</f>
        <v>0</v>
      </c>
      <c r="G8" s="9" t="s">
        <v>31</v>
      </c>
      <c r="H8" s="38"/>
      <c r="I8" s="38"/>
    </row>
    <row r="10" customFormat="false" ht="15" hidden="false" customHeight="true" outlineLevel="0" collapsed="false">
      <c r="A10" s="8" t="s">
        <v>33</v>
      </c>
      <c r="B10" s="8"/>
      <c r="C10" s="8"/>
      <c r="D10" s="8"/>
      <c r="E10" s="8"/>
      <c r="F10" s="8"/>
      <c r="G10" s="8"/>
      <c r="H10" s="8"/>
      <c r="I10" s="8"/>
      <c r="J10" s="8"/>
      <c r="K10" s="8"/>
      <c r="L10" s="8"/>
      <c r="M10" s="8"/>
    </row>
    <row r="11" customFormat="false" ht="33.75" hidden="false" customHeight="true" outlineLevel="0" collapsed="false">
      <c r="A11" s="14" t="s">
        <v>34</v>
      </c>
      <c r="B11" s="14" t="s">
        <v>35</v>
      </c>
      <c r="C11" s="14" t="s">
        <v>36</v>
      </c>
      <c r="D11" s="14" t="s">
        <v>37</v>
      </c>
      <c r="E11" s="14" t="s">
        <v>38</v>
      </c>
      <c r="F11" s="14" t="s">
        <v>39</v>
      </c>
      <c r="G11" s="14" t="s">
        <v>40</v>
      </c>
      <c r="H11" s="14" t="s">
        <v>41</v>
      </c>
      <c r="I11" s="14" t="s">
        <v>42</v>
      </c>
      <c r="J11" s="14" t="s">
        <v>43</v>
      </c>
      <c r="K11" s="14" t="s">
        <v>44</v>
      </c>
      <c r="L11" s="14" t="s">
        <v>26</v>
      </c>
      <c r="M11" s="14" t="s">
        <v>31</v>
      </c>
    </row>
    <row r="12" customFormat="false" ht="54" hidden="false" customHeight="true" outlineLevel="0" collapsed="false">
      <c r="A12" s="15" t="n">
        <v>1</v>
      </c>
      <c r="B12" s="41"/>
      <c r="C12" s="41"/>
      <c r="D12" s="41"/>
      <c r="E12" s="42"/>
      <c r="F12" s="43"/>
      <c r="G12" s="43"/>
      <c r="H12" s="43"/>
      <c r="I12" s="43"/>
      <c r="J12" s="19" t="str">
        <f aca="false">IF(COUNT(G12:I12)=3,G12*H12*I12,"")</f>
        <v/>
      </c>
      <c r="K12" s="19" t="str">
        <f aca="false">IF(J12="","",RANK(J12,$J$12:$J$15,0))</f>
        <v/>
      </c>
      <c r="L12" s="41"/>
      <c r="M12" s="41"/>
    </row>
    <row r="13" customFormat="false" ht="54" hidden="false" customHeight="true" outlineLevel="0" collapsed="false">
      <c r="A13" s="15" t="n">
        <v>2</v>
      </c>
      <c r="B13" s="41"/>
      <c r="C13" s="41"/>
      <c r="D13" s="41"/>
      <c r="E13" s="42"/>
      <c r="F13" s="43"/>
      <c r="G13" s="43"/>
      <c r="H13" s="43"/>
      <c r="I13" s="43"/>
      <c r="J13" s="19" t="str">
        <f aca="false">IF(COUNT(G13:I13)=3,G13*H13*I13,"")</f>
        <v/>
      </c>
      <c r="K13" s="19" t="str">
        <f aca="false">IF(J13="","",RANK(J13,$J$12:$J$15,0))</f>
        <v/>
      </c>
      <c r="L13" s="41"/>
      <c r="M13" s="41"/>
    </row>
    <row r="14" customFormat="false" ht="54" hidden="false" customHeight="true" outlineLevel="0" collapsed="false">
      <c r="A14" s="15" t="n">
        <v>3</v>
      </c>
      <c r="B14" s="41"/>
      <c r="C14" s="41"/>
      <c r="D14" s="41"/>
      <c r="E14" s="42"/>
      <c r="F14" s="43"/>
      <c r="G14" s="43"/>
      <c r="H14" s="43"/>
      <c r="I14" s="43"/>
      <c r="J14" s="19" t="str">
        <f aca="false">IF(COUNT(G14:I14)=3,G14*H14*I14,"")</f>
        <v/>
      </c>
      <c r="K14" s="19" t="str">
        <f aca="false">IF(J14="","",RANK(J14,$J$12:$J$15,0))</f>
        <v/>
      </c>
      <c r="L14" s="41"/>
      <c r="M14" s="41"/>
    </row>
    <row r="15" customFormat="false" ht="54" hidden="false" customHeight="true" outlineLevel="0" collapsed="false">
      <c r="A15" s="15" t="n">
        <v>4</v>
      </c>
      <c r="B15" s="41"/>
      <c r="C15" s="41"/>
      <c r="D15" s="41"/>
      <c r="E15" s="42"/>
      <c r="F15" s="43"/>
      <c r="G15" s="43"/>
      <c r="H15" s="43"/>
      <c r="I15" s="43"/>
      <c r="J15" s="19" t="str">
        <f aca="false">IF(COUNT(G15:I15)=3,G15*H15*I15,"")</f>
        <v/>
      </c>
      <c r="K15" s="19" t="str">
        <f aca="false">IF(J15="","",RANK(J15,$J$12:$J$15,0))</f>
        <v/>
      </c>
      <c r="L15" s="41"/>
      <c r="M15" s="41"/>
    </row>
    <row r="16" customFormat="false" ht="18.75" hidden="false" customHeight="true" outlineLevel="0" collapsed="false">
      <c r="B16" s="44" t="s">
        <v>84</v>
      </c>
      <c r="E16" s="45" t="n">
        <v>0.1</v>
      </c>
      <c r="G16" s="46" t="n">
        <v>9</v>
      </c>
      <c r="H16" s="46" t="n">
        <v>7</v>
      </c>
      <c r="I16" s="46" t="n">
        <v>6</v>
      </c>
    </row>
    <row r="17" customFormat="false" ht="21.75" hidden="false" customHeight="true" outlineLevel="0" collapsed="false">
      <c r="D17" s="21" t="s">
        <v>64</v>
      </c>
      <c r="E17" s="22" t="n">
        <f aca="false">SUM(E12:E15)</f>
        <v>0</v>
      </c>
      <c r="F17" s="23" t="str">
        <f aca="false">IF(SUM(E12:E15)&gt;=C8,"✓ Initiatives cover the "&amp;TEXT(C8,"0.0%")&amp;" gap","⚠ Short by "&amp;TEXT(C8-SUM(E12:E15),"0.0%")&amp;" — add or strengthen an initiative")</f>
        <v>✓ Initiatives cover the 0.0% gap</v>
      </c>
      <c r="G17" s="23"/>
      <c r="H17" s="23"/>
      <c r="I17" s="23"/>
      <c r="J17" s="23"/>
      <c r="K17" s="23"/>
      <c r="L17" s="23"/>
      <c r="M17" s="23"/>
    </row>
    <row r="19" customFormat="false" ht="15" hidden="false" customHeight="true" outlineLevel="0" collapsed="false">
      <c r="A19" s="8" t="s">
        <v>65</v>
      </c>
      <c r="B19" s="8"/>
      <c r="C19" s="8"/>
      <c r="D19" s="8"/>
      <c r="E19" s="8"/>
      <c r="F19" s="8"/>
      <c r="G19" s="8"/>
      <c r="H19" s="8"/>
      <c r="I19" s="8"/>
      <c r="J19" s="8"/>
      <c r="K19" s="8"/>
      <c r="L19" s="8"/>
      <c r="M19" s="8"/>
    </row>
    <row r="20" customFormat="false" ht="30" hidden="false" customHeight="true" outlineLevel="0" collapsed="false">
      <c r="B20" s="9" t="s">
        <v>66</v>
      </c>
      <c r="C20" s="47" t="n">
        <v>4000</v>
      </c>
      <c r="D20" s="25" t="s">
        <v>67</v>
      </c>
      <c r="E20" s="25"/>
      <c r="F20" s="25"/>
      <c r="G20" s="25"/>
      <c r="H20" s="25"/>
      <c r="I20" s="25"/>
      <c r="J20" s="25"/>
      <c r="K20" s="25"/>
      <c r="L20" s="25"/>
      <c r="M20" s="25"/>
    </row>
    <row r="21" customFormat="false" ht="30" hidden="false" customHeight="true" outlineLevel="0" collapsed="false">
      <c r="B21" s="9" t="s">
        <v>68</v>
      </c>
      <c r="C21" s="47"/>
      <c r="D21" s="25" t="s">
        <v>69</v>
      </c>
      <c r="E21" s="25"/>
      <c r="F21" s="25"/>
      <c r="G21" s="25"/>
      <c r="H21" s="25"/>
      <c r="I21" s="25"/>
      <c r="J21" s="25"/>
      <c r="K21" s="25"/>
      <c r="L21" s="25"/>
      <c r="M21" s="25"/>
    </row>
    <row r="22" customFormat="false" ht="30" hidden="false" customHeight="true" outlineLevel="0" collapsed="false">
      <c r="B22" s="9" t="s">
        <v>70</v>
      </c>
      <c r="C22" s="48" t="n">
        <v>2.7</v>
      </c>
      <c r="D22" s="25" t="s">
        <v>71</v>
      </c>
      <c r="E22" s="25"/>
      <c r="F22" s="25"/>
      <c r="G22" s="25"/>
      <c r="H22" s="25"/>
      <c r="I22" s="25"/>
      <c r="J22" s="25"/>
      <c r="K22" s="25"/>
      <c r="L22" s="25"/>
      <c r="M22" s="25"/>
    </row>
    <row r="24" customFormat="false" ht="45" hidden="false" customHeight="true" outlineLevel="0" collapsed="false">
      <c r="A24" s="27" t="s">
        <v>34</v>
      </c>
      <c r="B24" s="27" t="s">
        <v>35</v>
      </c>
      <c r="C24" s="27" t="s">
        <v>72</v>
      </c>
      <c r="D24" s="27"/>
      <c r="E24" s="27" t="s">
        <v>73</v>
      </c>
      <c r="F24" s="27" t="s">
        <v>74</v>
      </c>
      <c r="G24" s="27" t="s">
        <v>75</v>
      </c>
      <c r="H24" s="27" t="s">
        <v>76</v>
      </c>
      <c r="I24" s="27" t="s">
        <v>77</v>
      </c>
      <c r="J24" s="27" t="s">
        <v>78</v>
      </c>
      <c r="K24" s="27" t="s">
        <v>79</v>
      </c>
      <c r="L24" s="27" t="s">
        <v>80</v>
      </c>
      <c r="M24" s="27" t="s">
        <v>81</v>
      </c>
    </row>
    <row r="25" customFormat="false" ht="42" hidden="false" customHeight="true" outlineLevel="0" collapsed="false">
      <c r="A25" s="28" t="n">
        <v>1</v>
      </c>
      <c r="B25" s="49" t="str">
        <f aca="false">IF(B12="","",B12)</f>
        <v/>
      </c>
      <c r="C25" s="30" t="str">
        <f aca="false">IF(OR(NOT(ISNUMBER(E25)),NOT(ISNUMBER($C$20))),"",TEXT(E25,"0")&amp;" person-weeks x "&amp;TEXT($C$20,"$#,##0")&amp;" = "&amp;TEXT(F25,"$#,##0")&amp;". "&amp;IF(NOT(ISNUMBER(G25)),"Fill in the value of +1pp above to price the return.",TEXT(E12*100,"0.0")&amp;"pp x "&amp;TEXT($C$21,"$#,##0")&amp;" = "&amp;TEXT(G25,"$#,##0")&amp;" a month once it plateaus, but month one is only "&amp;TEXT(G25/$C$22,"$#,##0")&amp;"."))</f>
        <v/>
      </c>
      <c r="D25" s="30"/>
      <c r="E25" s="50"/>
      <c r="F25" s="32" t="str">
        <f aca="false">IF(OR(NOT(ISNUMBER(E25)),NOT(ISNUMBER($C$20))),"",E25*$C$20)</f>
        <v/>
      </c>
      <c r="G25" s="32" t="str">
        <f aca="false">IF(OR(NOT(ISNUMBER(E12)),NOT(ISNUMBER($C$21))),"",E12*100*$C$21)</f>
        <v/>
      </c>
      <c r="H25" s="33" t="str">
        <f aca="false">IF(OR(NOT(ISNUMBER(F25)),NOT(ISNUMBER(G25)),NOT(ISNUMBER($C$22)),G25&lt;=0,$C$22&lt;=0),"",IF(F25/(G25/$C$22)&lt;=INT($C$22)*(INT($C$22)+1)/2,CEILING((-1+SQRT(1+8*(F25/(G25/$C$22))))/2,1),CEILING(INT($C$22)+(F25/(G25/$C$22)-INT($C$22)*(INT($C$22)+1)/2)/$C$22,1)))</f>
        <v/>
      </c>
      <c r="I25" s="32" t="str">
        <f aca="false">IF(OR(NOT(ISNUMBER(G25)),NOT(ISNUMBER($C$22)),$C$22&lt;=0),"",(G25/$C$22)*IF(INT($C$22)&gt;=12,78,INT($C$22)*(INT($C$22)+1)/2+(12-INT($C$22))*$C$22))</f>
        <v/>
      </c>
      <c r="J25" s="34" t="str">
        <f aca="false">IF(OR(NOT(ISNUMBER(I25)),NOT(ISNUMBER(F25)),F25&lt;=0),"",I25/F25)</f>
        <v/>
      </c>
      <c r="K25" s="33" t="str">
        <f aca="false">IF(K12="","",K12)</f>
        <v/>
      </c>
      <c r="L25" s="33" t="str">
        <f aca="false">IF(NOT(ISNUMBER(H25)),"",RANK(H25,$H$25:$H$28,1))</f>
        <v/>
      </c>
      <c r="M25" s="35" t="str">
        <f aca="false">IF(NOT(ISNUMBER(J25)),"",IF(J25&gt;=1,"Pays for itself inside year 1","Does not pay back inside 12 months"))</f>
        <v/>
      </c>
    </row>
    <row r="26" customFormat="false" ht="42" hidden="false" customHeight="true" outlineLevel="0" collapsed="false">
      <c r="A26" s="28" t="n">
        <v>2</v>
      </c>
      <c r="B26" s="49" t="str">
        <f aca="false">IF(B13="","",B13)</f>
        <v/>
      </c>
      <c r="C26" s="30" t="str">
        <f aca="false">IF(OR(NOT(ISNUMBER(E26)),NOT(ISNUMBER($C$20))),"",TEXT(E26,"0")&amp;" person-weeks x "&amp;TEXT($C$20,"$#,##0")&amp;" = "&amp;TEXT(F26,"$#,##0")&amp;". "&amp;IF(NOT(ISNUMBER(G26)),"Fill in the value of +1pp above to price the return.",TEXT(E13*100,"0.0")&amp;"pp x "&amp;TEXT($C$21,"$#,##0")&amp;" = "&amp;TEXT(G26,"$#,##0")&amp;" a month once it plateaus, but month one is only "&amp;TEXT(G26/$C$22,"$#,##0")&amp;"."))</f>
        <v/>
      </c>
      <c r="D26" s="30"/>
      <c r="E26" s="50"/>
      <c r="F26" s="32" t="str">
        <f aca="false">IF(OR(NOT(ISNUMBER(E26)),NOT(ISNUMBER($C$20))),"",E26*$C$20)</f>
        <v/>
      </c>
      <c r="G26" s="32" t="str">
        <f aca="false">IF(OR(NOT(ISNUMBER(E13)),NOT(ISNUMBER($C$21))),"",E13*100*$C$21)</f>
        <v/>
      </c>
      <c r="H26" s="33" t="str">
        <f aca="false">IF(OR(NOT(ISNUMBER(F26)),NOT(ISNUMBER(G26)),NOT(ISNUMBER($C$22)),G26&lt;=0,$C$22&lt;=0),"",IF(F26/(G26/$C$22)&lt;=INT($C$22)*(INT($C$22)+1)/2,CEILING((-1+SQRT(1+8*(F26/(G26/$C$22))))/2,1),CEILING(INT($C$22)+(F26/(G26/$C$22)-INT($C$22)*(INT($C$22)+1)/2)/$C$22,1)))</f>
        <v/>
      </c>
      <c r="I26" s="32" t="str">
        <f aca="false">IF(OR(NOT(ISNUMBER(G26)),NOT(ISNUMBER($C$22)),$C$22&lt;=0),"",(G26/$C$22)*IF(INT($C$22)&gt;=12,78,INT($C$22)*(INT($C$22)+1)/2+(12-INT($C$22))*$C$22))</f>
        <v/>
      </c>
      <c r="J26" s="34" t="str">
        <f aca="false">IF(OR(NOT(ISNUMBER(I26)),NOT(ISNUMBER(F26)),F26&lt;=0),"",I26/F26)</f>
        <v/>
      </c>
      <c r="K26" s="33" t="str">
        <f aca="false">IF(K13="","",K13)</f>
        <v/>
      </c>
      <c r="L26" s="33" t="str">
        <f aca="false">IF(NOT(ISNUMBER(H26)),"",RANK(H26,$H$25:$H$28,1))</f>
        <v/>
      </c>
      <c r="M26" s="35" t="str">
        <f aca="false">IF(NOT(ISNUMBER(J26)),"",IF(J26&gt;=1,"Pays for itself inside year 1","Does not pay back inside 12 months"))</f>
        <v/>
      </c>
    </row>
    <row r="27" customFormat="false" ht="42" hidden="false" customHeight="true" outlineLevel="0" collapsed="false">
      <c r="A27" s="28" t="n">
        <v>3</v>
      </c>
      <c r="B27" s="49" t="str">
        <f aca="false">IF(B14="","",B14)</f>
        <v/>
      </c>
      <c r="C27" s="30" t="str">
        <f aca="false">IF(OR(NOT(ISNUMBER(E27)),NOT(ISNUMBER($C$20))),"",TEXT(E27,"0")&amp;" person-weeks x "&amp;TEXT($C$20,"$#,##0")&amp;" = "&amp;TEXT(F27,"$#,##0")&amp;". "&amp;IF(NOT(ISNUMBER(G27)),"Fill in the value of +1pp above to price the return.",TEXT(E14*100,"0.0")&amp;"pp x "&amp;TEXT($C$21,"$#,##0")&amp;" = "&amp;TEXT(G27,"$#,##0")&amp;" a month once it plateaus, but month one is only "&amp;TEXT(G27/$C$22,"$#,##0")&amp;"."))</f>
        <v/>
      </c>
      <c r="D27" s="30"/>
      <c r="E27" s="50"/>
      <c r="F27" s="32" t="str">
        <f aca="false">IF(OR(NOT(ISNUMBER(E27)),NOT(ISNUMBER($C$20))),"",E27*$C$20)</f>
        <v/>
      </c>
      <c r="G27" s="32" t="str">
        <f aca="false">IF(OR(NOT(ISNUMBER(E14)),NOT(ISNUMBER($C$21))),"",E14*100*$C$21)</f>
        <v/>
      </c>
      <c r="H27" s="33" t="str">
        <f aca="false">IF(OR(NOT(ISNUMBER(F27)),NOT(ISNUMBER(G27)),NOT(ISNUMBER($C$22)),G27&lt;=0,$C$22&lt;=0),"",IF(F27/(G27/$C$22)&lt;=INT($C$22)*(INT($C$22)+1)/2,CEILING((-1+SQRT(1+8*(F27/(G27/$C$22))))/2,1),CEILING(INT($C$22)+(F27/(G27/$C$22)-INT($C$22)*(INT($C$22)+1)/2)/$C$22,1)))</f>
        <v/>
      </c>
      <c r="I27" s="32" t="str">
        <f aca="false">IF(OR(NOT(ISNUMBER(G27)),NOT(ISNUMBER($C$22)),$C$22&lt;=0),"",(G27/$C$22)*IF(INT($C$22)&gt;=12,78,INT($C$22)*(INT($C$22)+1)/2+(12-INT($C$22))*$C$22))</f>
        <v/>
      </c>
      <c r="J27" s="34" t="str">
        <f aca="false">IF(OR(NOT(ISNUMBER(I27)),NOT(ISNUMBER(F27)),F27&lt;=0),"",I27/F27)</f>
        <v/>
      </c>
      <c r="K27" s="33" t="str">
        <f aca="false">IF(K14="","",K14)</f>
        <v/>
      </c>
      <c r="L27" s="33" t="str">
        <f aca="false">IF(NOT(ISNUMBER(H27)),"",RANK(H27,$H$25:$H$28,1))</f>
        <v/>
      </c>
      <c r="M27" s="35" t="str">
        <f aca="false">IF(NOT(ISNUMBER(J27)),"",IF(J27&gt;=1,"Pays for itself inside year 1","Does not pay back inside 12 months"))</f>
        <v/>
      </c>
    </row>
    <row r="28" customFormat="false" ht="42" hidden="false" customHeight="true" outlineLevel="0" collapsed="false">
      <c r="A28" s="28" t="n">
        <v>4</v>
      </c>
      <c r="B28" s="49" t="str">
        <f aca="false">IF(B15="","",B15)</f>
        <v/>
      </c>
      <c r="C28" s="30" t="str">
        <f aca="false">IF(OR(NOT(ISNUMBER(E28)),NOT(ISNUMBER($C$20))),"",TEXT(E28,"0")&amp;" person-weeks x "&amp;TEXT($C$20,"$#,##0")&amp;" = "&amp;TEXT(F28,"$#,##0")&amp;". "&amp;IF(NOT(ISNUMBER(G28)),"Fill in the value of +1pp above to price the return.",TEXT(E15*100,"0.0")&amp;"pp x "&amp;TEXT($C$21,"$#,##0")&amp;" = "&amp;TEXT(G28,"$#,##0")&amp;" a month once it plateaus, but month one is only "&amp;TEXT(G28/$C$22,"$#,##0")&amp;"."))</f>
        <v/>
      </c>
      <c r="D28" s="30"/>
      <c r="E28" s="50"/>
      <c r="F28" s="32" t="str">
        <f aca="false">IF(OR(NOT(ISNUMBER(E28)),NOT(ISNUMBER($C$20))),"",E28*$C$20)</f>
        <v/>
      </c>
      <c r="G28" s="32" t="str">
        <f aca="false">IF(OR(NOT(ISNUMBER(E15)),NOT(ISNUMBER($C$21))),"",E15*100*$C$21)</f>
        <v/>
      </c>
      <c r="H28" s="33" t="str">
        <f aca="false">IF(OR(NOT(ISNUMBER(F28)),NOT(ISNUMBER(G28)),NOT(ISNUMBER($C$22)),G28&lt;=0,$C$22&lt;=0),"",IF(F28/(G28/$C$22)&lt;=INT($C$22)*(INT($C$22)+1)/2,CEILING((-1+SQRT(1+8*(F28/(G28/$C$22))))/2,1),CEILING(INT($C$22)+(F28/(G28/$C$22)-INT($C$22)*(INT($C$22)+1)/2)/$C$22,1)))</f>
        <v/>
      </c>
      <c r="I28" s="32" t="str">
        <f aca="false">IF(OR(NOT(ISNUMBER(G28)),NOT(ISNUMBER($C$22)),$C$22&lt;=0),"",(G28/$C$22)*IF(INT($C$22)&gt;=12,78,INT($C$22)*(INT($C$22)+1)/2+(12-INT($C$22))*$C$22))</f>
        <v/>
      </c>
      <c r="J28" s="34" t="str">
        <f aca="false">IF(OR(NOT(ISNUMBER(I28)),NOT(ISNUMBER(F28)),F28&lt;=0),"",I28/F28)</f>
        <v/>
      </c>
      <c r="K28" s="33" t="str">
        <f aca="false">IF(K15="","",K15)</f>
        <v/>
      </c>
      <c r="L28" s="33" t="str">
        <f aca="false">IF(NOT(ISNUMBER(H28)),"",RANK(H28,$H$25:$H$28,1))</f>
        <v/>
      </c>
      <c r="M28" s="35" t="str">
        <f aca="false">IF(NOT(ISNUMBER(J28)),"",IF(J28&gt;=1,"Pays for itself inside year 1","Does not pay back inside 12 months"))</f>
        <v/>
      </c>
    </row>
    <row r="29" customFormat="false" ht="30" hidden="false" customHeight="true" outlineLevel="0" collapsed="false">
      <c r="B29" s="36" t="s">
        <v>82</v>
      </c>
      <c r="C29" s="30" t="str">
        <f aca="false">IF(NOT(ISNUMBER(H29)),"","The four bets together. Payback is "&amp;TEXT(H29,"0")&amp;" months, and year one returns "&amp;TEXT(J29,"$0.00")&amp;" for every $1 spent.")</f>
        <v/>
      </c>
      <c r="D29" s="30"/>
      <c r="E29" s="33" t="str">
        <f aca="false">IF(COUNT(E25:E28)=0,"",SUM(E25:E28))</f>
        <v/>
      </c>
      <c r="F29" s="32" t="str">
        <f aca="false">IF(OR(NOT(ISNUMBER(E29)),NOT(ISNUMBER($C$20))),"",E29*$C$20)</f>
        <v/>
      </c>
      <c r="G29" s="32" t="str">
        <f aca="false">IF(COUNT(G25:G28)=0,"",SUM(G25:G28))</f>
        <v/>
      </c>
      <c r="H29" s="33" t="str">
        <f aca="false">IF(OR(NOT(ISNUMBER(F29)),NOT(ISNUMBER(G29)),NOT(ISNUMBER($C$22)),G29&lt;=0,$C$22&lt;=0),"",IF(F29/(G29/$C$22)&lt;=INT($C$22)*(INT($C$22)+1)/2,CEILING((-1+SQRT(1+8*(F29/(G29/$C$22))))/2,1),CEILING(INT($C$22)+(F29/(G29/$C$22)-INT($C$22)*(INT($C$22)+1)/2)/$C$22,1)))</f>
        <v/>
      </c>
      <c r="I29" s="32" t="str">
        <f aca="false">IF(OR(NOT(ISNUMBER(G29)),NOT(ISNUMBER($C$22)),$C$22&lt;=0),"",(G29/$C$22)*IF(INT($C$22)&gt;=12,78,INT($C$22)*(INT($C$22)+1)/2+(12-INT($C$22))*$C$22))</f>
        <v/>
      </c>
      <c r="J29" s="34" t="str">
        <f aca="false">IF(OR(NOT(ISNUMBER(I29)),NOT(ISNUMBER(F29)),F29&lt;=0),"",I29/F29)</f>
        <v/>
      </c>
      <c r="K29" s="37"/>
      <c r="L29" s="37"/>
      <c r="M29" s="35" t="str">
        <f aca="false">IF(NOT(ISNUMBER(J29)),"",IF(J29&gt;=1,"Pays for itself inside year 1","Does not pay back inside 12 months"))</f>
        <v/>
      </c>
    </row>
    <row r="31" customFormat="false" ht="45.75" hidden="false" customHeight="true" outlineLevel="0" collapsed="false">
      <c r="B31" s="30" t="str">
        <f aca="false">IF(OR(NOT(ISNUMBER(I29)),I29&lt;=0),"Fill in the three assumptions above and the person-weeks on each bet. Nothing here is computed until you do — which is the point: a plan without a price is an opinion.","Say both numbers out loud. Month one is worth "&amp;TEXT(G29/$C$22,"$#,##0")&amp;", not "&amp;TEXT(G29,"$#,##0")&amp;" — quoting the plateau as a launch-month figure overstates that month by "&amp;TEXT($C$22,"0.0")&amp;"x. Across a full year the same ramp costs you far less than you would guess: "&amp;TEXT(I29,"$#,##0")&amp;" against the naive "&amp;TEXT(G29*12,"$#,##0")&amp;", about "&amp;TEXT(G29*12/I29-1,"0%")&amp;" apart. The ramp wrecks the launch-month claim and barely touches the annual one, so be careful which of the two you put on a slide.")</f>
        <v>Fill in the three assumptions above and the person-weeks on each bet. Nothing here is computed until you do — which is the point: a plan without a price is an opinion.</v>
      </c>
      <c r="C31" s="30"/>
      <c r="D31" s="30"/>
      <c r="E31" s="30"/>
      <c r="F31" s="30"/>
      <c r="G31" s="30"/>
      <c r="H31" s="30"/>
      <c r="I31" s="30"/>
      <c r="J31" s="30"/>
      <c r="K31" s="30"/>
      <c r="L31" s="30"/>
      <c r="M31" s="30"/>
    </row>
    <row r="32" customFormat="false" ht="45.75" hidden="false" customHeight="true" outlineLevel="0" collapsed="false">
      <c r="B32" s="30" t="str">
        <f aca="false">IF(COUNT($H$25:$H$28)&lt;2,"Score the ICE and cost at least two bets to find out whether costing the plan reorders it. That comparison is the whole reason this block exists.",IF(SUMPRODUCT(--($K$25:$K$28&lt;&gt;$L$25:$L$28))=0,"Costing the plan did not reorder it — ICE and payback agree on the same order. That is a genuine result and a lucky one: the bets with the best judgement scores also return their money soonest, so there is nothing to trade off. Say it out loud, because the interesting version of this exercise is the one where the two disagree, and you should know which you are holding.","Costing the plan reordered it — "&amp;TEXT(SUMPRODUCT(--($K$25:$K$28&lt;&gt;$L$25:$L$28)),"0")&amp;" of these bets sit in a different place once cost enters. When ICE and payback disagree the honest answer is usually: ship the fast-payback one first to buy credibility, then spend it on the expensive one."))</f>
        <v>Score the ICE and cost at least two bets to find out whether costing the plan reorders it. That comparison is the whole reason this block exists.</v>
      </c>
      <c r="C32" s="30"/>
      <c r="D32" s="30"/>
      <c r="E32" s="30"/>
      <c r="F32" s="30"/>
      <c r="G32" s="30"/>
      <c r="H32" s="30"/>
      <c r="I32" s="30"/>
      <c r="J32" s="30"/>
      <c r="K32" s="30"/>
      <c r="L32" s="30"/>
      <c r="M32" s="30"/>
    </row>
  </sheetData>
  <mergeCells count="22">
    <mergeCell ref="A1:M1"/>
    <mergeCell ref="A2:M2"/>
    <mergeCell ref="A4:M4"/>
    <mergeCell ref="C5:E5"/>
    <mergeCell ref="H5:I5"/>
    <mergeCell ref="H6:I6"/>
    <mergeCell ref="H7:I7"/>
    <mergeCell ref="H8:I8"/>
    <mergeCell ref="A10:M10"/>
    <mergeCell ref="F17:M17"/>
    <mergeCell ref="A19:M19"/>
    <mergeCell ref="D20:M20"/>
    <mergeCell ref="D21:M21"/>
    <mergeCell ref="D22:M22"/>
    <mergeCell ref="C24:D24"/>
    <mergeCell ref="C25:D25"/>
    <mergeCell ref="C26:D26"/>
    <mergeCell ref="C27:D27"/>
    <mergeCell ref="C28:D28"/>
    <mergeCell ref="C29:D29"/>
    <mergeCell ref="B31:M31"/>
    <mergeCell ref="B32:M32"/>
  </mergeCells>
  <dataValidations count="2">
    <dataValidation allowBlank="true" errorStyle="stop" operator="between" showDropDown="false" showErrorMessage="false" showInputMessage="false" sqref="F12:F15" type="list">
      <formula1>"S,M,L"</formula1>
      <formula2>0</formula2>
    </dataValidation>
    <dataValidation allowBlank="true" errorStyle="stop" operator="between" showDropDown="false" showErrorMessage="false" showInputMessage="false" sqref="M12:M15" type="list">
      <formula1>"Not started,In progress,Shipped,Measuring,Done"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18"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2026-07-23T08:21:04Z</dcterms:created>
  <dc:creator>openpyxl</dc:creator>
  <dc:description/>
  <dc:language>en-US</dc:language>
  <cp:lastModifiedBy/>
  <dcterms:modified xsi:type="dcterms:W3CDTF">2026-07-27T09:41:27Z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